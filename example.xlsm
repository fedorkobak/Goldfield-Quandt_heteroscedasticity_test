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GoldfildQand" sheetId="7" r:id="rId1"/>
  </sheets>
  <calcPr calcId="152511"/>
</workbook>
</file>

<file path=xl/calcChain.xml><?xml version="1.0" encoding="utf-8"?>
<calcChain xmlns="http://schemas.openxmlformats.org/spreadsheetml/2006/main">
  <c r="L2" i="7" l="1"/>
  <c r="K2" i="7"/>
  <c r="J25" i="7"/>
  <c r="J2" i="7"/>
  <c r="I25" i="7" a="1"/>
  <c r="I25" i="7" s="1"/>
  <c r="I2" i="7" a="1"/>
  <c r="I2" i="7" s="1"/>
  <c r="H25" i="7" a="1"/>
  <c r="H25" i="7" s="1"/>
  <c r="H2" i="7" a="1"/>
  <c r="H2" i="7" s="1"/>
  <c r="G25" i="7" a="1"/>
  <c r="G25" i="7" s="1"/>
  <c r="G2" i="7" a="1"/>
  <c r="G2" i="7" s="1"/>
  <c r="D7" i="7" a="1"/>
  <c r="D7" i="7" s="1"/>
  <c r="D4" i="7" a="1"/>
  <c r="D4" i="7" s="1"/>
  <c r="I35" i="7" l="1"/>
  <c r="I31" i="7"/>
  <c r="I27" i="7"/>
  <c r="I36" i="7"/>
  <c r="I32" i="7"/>
  <c r="I28" i="7"/>
  <c r="I34" i="7"/>
  <c r="I30" i="7"/>
  <c r="I26" i="7"/>
  <c r="I33" i="7"/>
  <c r="I29" i="7"/>
  <c r="I13" i="7"/>
  <c r="I9" i="7"/>
  <c r="I5" i="7"/>
  <c r="I12" i="7"/>
  <c r="I8" i="7"/>
  <c r="I4" i="7"/>
  <c r="I3" i="7"/>
  <c r="I11" i="7"/>
  <c r="I7" i="7"/>
  <c r="I10" i="7"/>
  <c r="I6" i="7"/>
  <c r="H32" i="7"/>
  <c r="H35" i="7"/>
  <c r="H26" i="7"/>
  <c r="H36" i="7"/>
  <c r="H28" i="7"/>
  <c r="H31" i="7"/>
  <c r="H27" i="7"/>
  <c r="H34" i="7"/>
  <c r="H30" i="7"/>
  <c r="H33" i="7"/>
  <c r="H29" i="7"/>
  <c r="H12" i="7"/>
  <c r="H8" i="7"/>
  <c r="H4" i="7"/>
  <c r="H13" i="7"/>
  <c r="H9" i="7"/>
  <c r="H5" i="7"/>
  <c r="H11" i="7"/>
  <c r="H7" i="7"/>
  <c r="H3" i="7"/>
  <c r="H10" i="7"/>
  <c r="H6" i="7"/>
  <c r="G35" i="7"/>
  <c r="G31" i="7"/>
  <c r="G27" i="7"/>
  <c r="G36" i="7"/>
  <c r="G32" i="7"/>
  <c r="G28" i="7"/>
  <c r="G34" i="7"/>
  <c r="G30" i="7"/>
  <c r="G26" i="7"/>
  <c r="G33" i="7"/>
  <c r="G29" i="7"/>
  <c r="G12" i="7"/>
  <c r="G8" i="7"/>
  <c r="G4" i="7"/>
  <c r="G13" i="7"/>
  <c r="G9" i="7"/>
  <c r="G5" i="7"/>
  <c r="G11" i="7"/>
  <c r="G7" i="7"/>
  <c r="G3" i="7"/>
  <c r="G10" i="7"/>
  <c r="G6" i="7"/>
  <c r="E7" i="7"/>
  <c r="F7" i="7"/>
  <c r="F4" i="7"/>
  <c r="E4" i="7"/>
</calcChain>
</file>

<file path=xl/sharedStrings.xml><?xml version="1.0" encoding="utf-8"?>
<sst xmlns="http://schemas.openxmlformats.org/spreadsheetml/2006/main" count="17" uniqueCount="14">
  <si>
    <t>y</t>
  </si>
  <si>
    <t>F</t>
  </si>
  <si>
    <r>
      <t>x</t>
    </r>
    <r>
      <rPr>
        <vertAlign val="subscript"/>
        <sz val="13"/>
        <color theme="1"/>
        <rFont val="Times New Roman"/>
        <family val="1"/>
        <charset val="204"/>
      </rPr>
      <t>2</t>
    </r>
  </si>
  <si>
    <r>
      <t>x</t>
    </r>
    <r>
      <rPr>
        <vertAlign val="subscript"/>
        <sz val="13"/>
        <color theme="1"/>
        <rFont val="Times New Roman"/>
        <family val="1"/>
        <charset val="204"/>
      </rPr>
      <t>3</t>
    </r>
  </si>
  <si>
    <t>y^</t>
  </si>
  <si>
    <t>e</t>
  </si>
  <si>
    <t>e^2</t>
  </si>
  <si>
    <t>S</t>
  </si>
  <si>
    <t>коэффициенты первой группы</t>
  </si>
  <si>
    <t>b 1</t>
  </si>
  <si>
    <t>b 2</t>
  </si>
  <si>
    <t>a</t>
  </si>
  <si>
    <t>коэффициенты третьей группы</t>
  </si>
  <si>
    <t>p-value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</si>
</sst>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i/>
      <sz val="13"/>
      <color theme="1"/>
      <name val="Times New Roman"/>
      <family val="1"/>
      <charset val="204"/>
    </font>
    <font>
      <vertAlign val="subscript"/>
      <sz val="13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36"/>
  <sheetViews>
    <sheetView tabSelected="1" zoomScaleNormal="100" workbookViewId="0">
      <selection activeCell="L2" sqref="L2"/>
    </sheetView>
  </sheetViews>
  <sheetFormatPr defaultRowHeight="15" x14ac:dyDescent="0.25"/>
  <cols>
    <col min="12" max="12" width="12" bestFit="1" customWidth="1"/>
  </cols>
  <sheetData>
    <row r="1" spans="1:12" ht="20.25" thickBot="1" x14ac:dyDescent="0.3">
      <c r="A1" s="1" t="s">
        <v>0</v>
      </c>
      <c r="B1" s="1" t="s">
        <v>2</v>
      </c>
      <c r="C1" s="1" t="s">
        <v>3</v>
      </c>
      <c r="G1" t="s">
        <v>4</v>
      </c>
      <c r="H1" t="s">
        <v>5</v>
      </c>
      <c r="I1" t="s">
        <v>6</v>
      </c>
      <c r="J1" t="s">
        <v>7</v>
      </c>
      <c r="K1" t="s">
        <v>1</v>
      </c>
      <c r="L1" t="s">
        <v>13</v>
      </c>
    </row>
    <row r="2" spans="1:12" ht="17.25" thickBot="1" x14ac:dyDescent="0.3">
      <c r="A2" s="2">
        <v>620</v>
      </c>
      <c r="B2" s="2">
        <v>7</v>
      </c>
      <c r="C2" s="2">
        <v>0.8</v>
      </c>
      <c r="D2" t="s">
        <v>8</v>
      </c>
      <c r="G2">
        <f t="array" ref="G2:G13">TRANSPOSE(MMULT($D$4:$E$4,TRANSPOSE($B$2:$C$13))+$F$4)</f>
        <v>-931.62307692307718</v>
      </c>
      <c r="H2">
        <f t="array" ref="H2:H13">$A$2:$A$13-$G$2:$G$13</f>
        <v>1551.6230769230772</v>
      </c>
      <c r="I2">
        <f t="array" ref="I2:I13">$H$2:$H$13^2</f>
        <v>2407534.1728402376</v>
      </c>
      <c r="J2">
        <f>SUM($I$2:$I$13)</f>
        <v>15887690.13281065</v>
      </c>
      <c r="K2">
        <f>IF($J$2&lt;$J$25,$J$25/$J$2,$J$2/$J$25)</f>
        <v>32.579279893888611</v>
      </c>
      <c r="L2">
        <f>_xlfn.F.DIST.RT($K$2,  9,  9)</f>
        <v>8.2460064361660654E-6</v>
      </c>
    </row>
    <row r="3" spans="1:12" ht="17.25" thickBot="1" x14ac:dyDescent="0.3">
      <c r="A3" s="2">
        <v>684</v>
      </c>
      <c r="B3" s="2">
        <v>7</v>
      </c>
      <c r="C3" s="2">
        <v>0.8</v>
      </c>
      <c r="D3" t="s">
        <v>9</v>
      </c>
      <c r="E3" t="s">
        <v>10</v>
      </c>
      <c r="F3" t="s">
        <v>11</v>
      </c>
      <c r="G3">
        <v>-931.62307692307718</v>
      </c>
      <c r="H3">
        <v>1615.6230769230772</v>
      </c>
      <c r="I3">
        <v>2610237.9266863912</v>
      </c>
    </row>
    <row r="4" spans="1:12" ht="17.25" thickBot="1" x14ac:dyDescent="0.3">
      <c r="A4" s="2">
        <v>605</v>
      </c>
      <c r="B4" s="2">
        <v>7</v>
      </c>
      <c r="C4" s="2">
        <v>1</v>
      </c>
      <c r="D4">
        <f t="array" ref="D4:F4">LINEST($A$2:$A$13,$B$2:$C$13)</f>
        <v>-275.19230769230774</v>
      </c>
      <c r="E4">
        <v>-19.769230769230774</v>
      </c>
      <c r="F4">
        <v>1010.5384615384617</v>
      </c>
      <c r="G4">
        <v>-935.57692307692332</v>
      </c>
      <c r="H4">
        <v>1540.5769230769233</v>
      </c>
      <c r="I4">
        <v>2373377.2559171603</v>
      </c>
    </row>
    <row r="5" spans="1:12" ht="17.25" thickBot="1" x14ac:dyDescent="0.3">
      <c r="A5" s="2">
        <v>605</v>
      </c>
      <c r="B5" s="2">
        <v>5</v>
      </c>
      <c r="C5" s="2">
        <v>1</v>
      </c>
      <c r="D5" t="s">
        <v>12</v>
      </c>
      <c r="G5">
        <v>-385.19230769230762</v>
      </c>
      <c r="H5">
        <v>990.19230769230762</v>
      </c>
      <c r="I5">
        <v>980480.80621301767</v>
      </c>
    </row>
    <row r="6" spans="1:12" ht="17.25" thickBot="1" x14ac:dyDescent="0.3">
      <c r="A6" s="2">
        <v>611</v>
      </c>
      <c r="B6" s="2">
        <v>6</v>
      </c>
      <c r="C6" s="2">
        <v>1</v>
      </c>
      <c r="D6" t="s">
        <v>9</v>
      </c>
      <c r="E6" t="s">
        <v>10</v>
      </c>
      <c r="F6" t="s">
        <v>11</v>
      </c>
      <c r="G6">
        <v>-660.38461538461547</v>
      </c>
      <c r="H6">
        <v>1271.3846153846155</v>
      </c>
      <c r="I6">
        <v>1616418.8402366866</v>
      </c>
    </row>
    <row r="7" spans="1:12" ht="17.25" thickBot="1" x14ac:dyDescent="0.3">
      <c r="A7" s="2">
        <v>615</v>
      </c>
      <c r="B7" s="2">
        <v>4.5</v>
      </c>
      <c r="C7" s="2">
        <v>1</v>
      </c>
      <c r="D7">
        <f t="array" ref="D7:F7">LINEST($A$25:$A$36,$B$25:$C$36)</f>
        <v>92.792862684251688</v>
      </c>
      <c r="E7">
        <v>66.669511249030208</v>
      </c>
      <c r="F7">
        <v>317.20170674941801</v>
      </c>
      <c r="G7">
        <v>-247.59615384615381</v>
      </c>
      <c r="H7">
        <v>862.59615384615381</v>
      </c>
      <c r="I7">
        <v>744072.12463017751</v>
      </c>
    </row>
    <row r="8" spans="1:12" ht="17.25" thickBot="1" x14ac:dyDescent="0.3">
      <c r="A8" s="2">
        <v>615</v>
      </c>
      <c r="B8" s="2">
        <v>4.5</v>
      </c>
      <c r="C8" s="2">
        <v>1</v>
      </c>
      <c r="G8">
        <v>-247.59615384615381</v>
      </c>
      <c r="H8">
        <v>862.59615384615381</v>
      </c>
      <c r="I8">
        <v>744072.12463017751</v>
      </c>
    </row>
    <row r="9" spans="1:12" ht="17.25" thickBot="1" x14ac:dyDescent="0.3">
      <c r="A9" s="2">
        <v>627</v>
      </c>
      <c r="B9" s="2">
        <v>4.5</v>
      </c>
      <c r="C9" s="2">
        <v>1</v>
      </c>
      <c r="G9">
        <v>-247.59615384615381</v>
      </c>
      <c r="H9">
        <v>874.59615384615381</v>
      </c>
      <c r="I9">
        <v>764918.43232248514</v>
      </c>
    </row>
    <row r="10" spans="1:12" ht="17.25" thickBot="1" x14ac:dyDescent="0.3">
      <c r="A10" s="2">
        <v>645</v>
      </c>
      <c r="B10" s="2">
        <v>5</v>
      </c>
      <c r="C10" s="2">
        <v>1</v>
      </c>
      <c r="G10">
        <v>-385.19230769230762</v>
      </c>
      <c r="H10">
        <v>1030.1923076923076</v>
      </c>
      <c r="I10">
        <v>1061296.1908284023</v>
      </c>
    </row>
    <row r="11" spans="1:12" ht="17.25" thickBot="1" x14ac:dyDescent="0.3">
      <c r="A11" s="2">
        <v>674</v>
      </c>
      <c r="B11" s="2">
        <v>4.5</v>
      </c>
      <c r="C11" s="2">
        <v>1</v>
      </c>
      <c r="G11">
        <v>-247.59615384615381</v>
      </c>
      <c r="H11">
        <v>921.59615384615381</v>
      </c>
      <c r="I11">
        <v>849339.47078402364</v>
      </c>
    </row>
    <row r="12" spans="1:12" ht="17.25" thickBot="1" x14ac:dyDescent="0.3">
      <c r="A12" s="2">
        <v>674</v>
      </c>
      <c r="B12" s="2">
        <v>4.5</v>
      </c>
      <c r="C12" s="2">
        <v>1</v>
      </c>
      <c r="G12">
        <v>-247.59615384615381</v>
      </c>
      <c r="H12">
        <v>921.59615384615381</v>
      </c>
      <c r="I12">
        <v>849339.47078402364</v>
      </c>
    </row>
    <row r="13" spans="1:12" ht="17.25" thickBot="1" x14ac:dyDescent="0.3">
      <c r="A13" s="2">
        <v>694</v>
      </c>
      <c r="B13" s="2">
        <v>4.5</v>
      </c>
      <c r="C13" s="2">
        <v>1</v>
      </c>
      <c r="G13">
        <v>-247.59615384615381</v>
      </c>
      <c r="H13">
        <v>941.59615384615381</v>
      </c>
      <c r="I13">
        <v>886603.31693786976</v>
      </c>
    </row>
    <row r="14" spans="1:12" ht="17.25" thickBot="1" x14ac:dyDescent="0.3">
      <c r="A14" s="2">
        <v>704</v>
      </c>
      <c r="B14" s="2">
        <v>4.5</v>
      </c>
      <c r="C14" s="2">
        <v>1</v>
      </c>
    </row>
    <row r="15" spans="1:12" ht="17.25" thickBot="1" x14ac:dyDescent="0.3">
      <c r="A15" s="2">
        <v>735</v>
      </c>
      <c r="B15" s="2">
        <v>7</v>
      </c>
      <c r="C15" s="2">
        <v>1</v>
      </c>
    </row>
    <row r="16" spans="1:12" ht="17.25" thickBot="1" x14ac:dyDescent="0.3">
      <c r="A16" s="2">
        <v>830</v>
      </c>
      <c r="B16" s="2">
        <v>8</v>
      </c>
      <c r="C16" s="2">
        <v>1</v>
      </c>
    </row>
    <row r="17" spans="1:10" ht="17.25" thickBot="1" x14ac:dyDescent="0.3">
      <c r="A17" s="2">
        <v>885</v>
      </c>
      <c r="B17" s="2">
        <v>8</v>
      </c>
      <c r="C17" s="2">
        <v>1</v>
      </c>
    </row>
    <row r="18" spans="1:10" ht="17.25" thickBot="1" x14ac:dyDescent="0.3">
      <c r="A18" s="2">
        <v>1061</v>
      </c>
      <c r="B18" s="2">
        <v>8</v>
      </c>
      <c r="C18" s="2">
        <v>1</v>
      </c>
    </row>
    <row r="19" spans="1:10" ht="17.25" thickBot="1" x14ac:dyDescent="0.3">
      <c r="A19" s="2">
        <v>634</v>
      </c>
      <c r="B19" s="2">
        <v>4.5</v>
      </c>
      <c r="C19" s="2">
        <v>1.2</v>
      </c>
    </row>
    <row r="20" spans="1:10" ht="17.25" thickBot="1" x14ac:dyDescent="0.3">
      <c r="A20" s="2">
        <v>660</v>
      </c>
      <c r="B20" s="2">
        <v>4.5</v>
      </c>
      <c r="C20" s="2">
        <v>1.2</v>
      </c>
    </row>
    <row r="21" spans="1:10" ht="17.25" thickBot="1" x14ac:dyDescent="0.3">
      <c r="A21" s="2">
        <v>667</v>
      </c>
      <c r="B21" s="2">
        <v>6</v>
      </c>
      <c r="C21" s="2">
        <v>1.2</v>
      </c>
    </row>
    <row r="22" spans="1:10" ht="17.25" thickBot="1" x14ac:dyDescent="0.3">
      <c r="A22" s="2">
        <v>680</v>
      </c>
      <c r="B22" s="2">
        <v>4.5</v>
      </c>
      <c r="C22" s="2">
        <v>1.2</v>
      </c>
    </row>
    <row r="23" spans="1:10" ht="17.25" thickBot="1" x14ac:dyDescent="0.3">
      <c r="A23" s="2">
        <v>691</v>
      </c>
      <c r="B23" s="2">
        <v>7</v>
      </c>
      <c r="C23" s="2">
        <v>1.2</v>
      </c>
    </row>
    <row r="24" spans="1:10" ht="17.25" thickBot="1" x14ac:dyDescent="0.3">
      <c r="A24" s="2">
        <v>705</v>
      </c>
      <c r="B24" s="2">
        <v>7</v>
      </c>
      <c r="C24" s="2">
        <v>1.2</v>
      </c>
    </row>
    <row r="25" spans="1:10" ht="17.25" thickBot="1" x14ac:dyDescent="0.3">
      <c r="A25" s="2">
        <v>717</v>
      </c>
      <c r="B25" s="2">
        <v>4.5</v>
      </c>
      <c r="C25" s="2">
        <v>1.2</v>
      </c>
      <c r="G25">
        <f t="array" ref="G25:G36">TRANSPOSE(MMULT($D$7:$E$7,TRANSPOSE($B$25:$C$36))+$F$7)</f>
        <v>814.77300232738685</v>
      </c>
      <c r="H25">
        <f t="array" ref="H25:H36">$A$25:$A$36-$G$25:$G$36</f>
        <v>-97.773002327386848</v>
      </c>
      <c r="I25">
        <f t="array" ref="I25:I36">$H$25:$H$36^2</f>
        <v>9559.5599841111944</v>
      </c>
      <c r="J25">
        <f>SUM($I$25:$I$36)</f>
        <v>487662.40949944832</v>
      </c>
    </row>
    <row r="26" spans="1:10" ht="17.25" thickBot="1" x14ac:dyDescent="0.3">
      <c r="A26" s="2">
        <v>724</v>
      </c>
      <c r="B26" s="2">
        <v>7</v>
      </c>
      <c r="C26" s="2">
        <v>1.2</v>
      </c>
      <c r="G26">
        <v>1046.7551590380162</v>
      </c>
      <c r="H26">
        <v>-322.75515903801625</v>
      </c>
      <c r="I26">
        <v>104170.89268565516</v>
      </c>
    </row>
    <row r="27" spans="1:10" ht="17.25" thickBot="1" x14ac:dyDescent="0.3">
      <c r="A27" s="2">
        <v>734</v>
      </c>
      <c r="B27" s="2">
        <v>4.5</v>
      </c>
      <c r="C27" s="2">
        <v>1.2</v>
      </c>
      <c r="G27">
        <v>814.77300232738685</v>
      </c>
      <c r="H27">
        <v>-80.773002327386848</v>
      </c>
      <c r="I27">
        <v>6524.2779049800411</v>
      </c>
    </row>
    <row r="28" spans="1:10" ht="17.25" thickBot="1" x14ac:dyDescent="0.3">
      <c r="A28" s="2">
        <v>859</v>
      </c>
      <c r="B28" s="2">
        <v>8</v>
      </c>
      <c r="C28" s="2">
        <v>1.2</v>
      </c>
      <c r="G28">
        <v>1139.5480217222678</v>
      </c>
      <c r="H28">
        <v>-280.54802172226778</v>
      </c>
      <c r="I28">
        <v>78707.192492278031</v>
      </c>
    </row>
    <row r="29" spans="1:10" ht="17.25" thickBot="1" x14ac:dyDescent="0.3">
      <c r="A29" s="2">
        <v>954</v>
      </c>
      <c r="B29" s="2">
        <v>5</v>
      </c>
      <c r="C29" s="2">
        <v>1.2</v>
      </c>
      <c r="G29">
        <v>861.16943366951273</v>
      </c>
      <c r="H29">
        <v>92.830566330487272</v>
      </c>
      <c r="I29">
        <v>8617.5140452389969</v>
      </c>
    </row>
    <row r="30" spans="1:10" ht="17.25" thickBot="1" x14ac:dyDescent="0.3">
      <c r="A30" s="2">
        <v>968</v>
      </c>
      <c r="B30" s="2">
        <v>8</v>
      </c>
      <c r="C30" s="2">
        <v>1.2</v>
      </c>
      <c r="G30">
        <v>1139.5480217222678</v>
      </c>
      <c r="H30">
        <v>-171.54802172226778</v>
      </c>
      <c r="I30">
        <v>29428.723756823656</v>
      </c>
    </row>
    <row r="31" spans="1:10" ht="17.25" thickBot="1" x14ac:dyDescent="0.3">
      <c r="A31" s="2">
        <v>1044</v>
      </c>
      <c r="B31" s="2">
        <v>8</v>
      </c>
      <c r="C31" s="2">
        <v>1.2</v>
      </c>
      <c r="G31">
        <v>1139.5480217222678</v>
      </c>
      <c r="H31">
        <v>-95.548021722267777</v>
      </c>
      <c r="I31">
        <v>9129.4244550389558</v>
      </c>
    </row>
    <row r="32" spans="1:10" ht="17.25" thickBot="1" x14ac:dyDescent="0.3">
      <c r="A32" s="2">
        <v>690</v>
      </c>
      <c r="B32" s="2">
        <v>7</v>
      </c>
      <c r="C32" s="2">
        <v>1.4</v>
      </c>
      <c r="G32">
        <v>1060.089061287822</v>
      </c>
      <c r="H32">
        <v>-370.08906128782201</v>
      </c>
      <c r="I32">
        <v>136965.91328490127</v>
      </c>
    </row>
    <row r="33" spans="1:9" ht="17.25" thickBot="1" x14ac:dyDescent="0.3">
      <c r="A33" s="2">
        <v>754</v>
      </c>
      <c r="B33" s="2">
        <v>7</v>
      </c>
      <c r="C33" s="2">
        <v>1.4</v>
      </c>
      <c r="G33">
        <v>1060.089061287822</v>
      </c>
      <c r="H33">
        <v>-306.08906128782201</v>
      </c>
      <c r="I33">
        <v>93690.513440060051</v>
      </c>
    </row>
    <row r="34" spans="1:9" ht="17.25" thickBot="1" x14ac:dyDescent="0.3">
      <c r="A34" s="2">
        <v>1055</v>
      </c>
      <c r="B34" s="2">
        <v>8</v>
      </c>
      <c r="C34" s="2">
        <v>1.4</v>
      </c>
      <c r="G34">
        <v>1152.8819239720738</v>
      </c>
      <c r="H34">
        <v>-97.881923972073764</v>
      </c>
      <c r="I34">
        <v>9580.871040474829</v>
      </c>
    </row>
    <row r="35" spans="1:9" ht="17.25" thickBot="1" x14ac:dyDescent="0.3">
      <c r="A35" s="2">
        <v>1117</v>
      </c>
      <c r="B35" s="2">
        <v>8</v>
      </c>
      <c r="C35" s="2">
        <v>1.4</v>
      </c>
      <c r="G35">
        <v>1152.8819239720738</v>
      </c>
      <c r="H35">
        <v>-35.881923972073764</v>
      </c>
      <c r="I35">
        <v>1287.5124679376818</v>
      </c>
    </row>
    <row r="36" spans="1:9" ht="17.25" thickBot="1" x14ac:dyDescent="0.3">
      <c r="A36" s="2">
        <v>1153</v>
      </c>
      <c r="B36" s="2">
        <v>8</v>
      </c>
      <c r="C36" s="2">
        <v>1.4</v>
      </c>
      <c r="G36">
        <v>1152.8819239720738</v>
      </c>
      <c r="H36">
        <v>0.11807602792623584</v>
      </c>
      <c r="I36">
        <v>1.3941948370837225E-2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GoldfildQand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2021-07-08T09:30:05Z</dcterms:modified>
</cp:coreProperties>
</file>